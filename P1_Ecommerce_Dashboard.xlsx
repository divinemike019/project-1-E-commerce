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<sst xmlns="http://schemas.openxmlformats.org/spreadsheetml/2006/main" count="86" uniqueCount="68">
  <si>
    <t xml:space="preserve">PROJECT 1 — E-COMMERCE PROFIT LEAK INVESTIGATION  |  Olist Brazilian Dataset</t>
  </si>
  <si>
    <t xml:space="preserve">Charlie  |  TheBuild Data Analysis Programme  |  June 2026</t>
  </si>
  <si>
    <t xml:space="preserve">PEAK REVENUE</t>
  </si>
  <si>
    <t xml:space="preserve">WORST STATE</t>
  </si>
  <si>
    <t xml:space="preserve">TOP COMPLAINTS</t>
  </si>
  <si>
    <t xml:space="preserve">PAYMENT</t>
  </si>
  <si>
    <t xml:space="preserve">LATE ORDERS</t>
  </si>
  <si>
    <t xml:space="preserve">AVG SCORE</t>
  </si>
  <si>
    <t xml:space="preserve">R$1.10M</t>
  </si>
  <si>
    <t xml:space="preserve">AL 9.7d</t>
  </si>
  <si>
    <t xml:space="preserve">Computers</t>
  </si>
  <si>
    <t xml:space="preserve">Credit Card</t>
  </si>
  <si>
    <t xml:space="preserve">~8.5%</t>
  </si>
  <si>
    <t xml:space="preserve">4.09/5</t>
  </si>
  <si>
    <t xml:space="preserve">Monthly Revenue Trend (BRL) — 2017–2018</t>
  </si>
  <si>
    <t xml:space="preserve">Month</t>
  </si>
  <si>
    <t xml:space="preserve">Orders</t>
  </si>
  <si>
    <t xml:space="preserve">Revenue (BRL)</t>
  </si>
  <si>
    <t xml:space="preserve">MoM Change</t>
  </si>
  <si>
    <t xml:space="preserve">Avg Order Value</t>
  </si>
  <si>
    <t xml:space="preserve">Cumulative</t>
  </si>
  <si>
    <t xml:space="preserve">Status</t>
  </si>
  <si>
    <t xml:space="preserve">Jan 2017</t>
  </si>
  <si>
    <t xml:space="preserve">📊 Normal</t>
  </si>
  <si>
    <t xml:space="preserve">Mar 2017</t>
  </si>
  <si>
    <t xml:space="preserve">Jun 2017</t>
  </si>
  <si>
    <t xml:space="preserve">Sep 2017</t>
  </si>
  <si>
    <t xml:space="preserve">Nov 2017</t>
  </si>
  <si>
    <t xml:space="preserve">🔥 Peak</t>
  </si>
  <si>
    <t xml:space="preserve">Dec 2017</t>
  </si>
  <si>
    <t xml:space="preserve">📈 Growth</t>
  </si>
  <si>
    <t xml:space="preserve">Jan 2018</t>
  </si>
  <si>
    <t xml:space="preserve">Mar 2018</t>
  </si>
  <si>
    <t xml:space="preserve">May 2018</t>
  </si>
  <si>
    <t xml:space="preserve">Jul 2018</t>
  </si>
  <si>
    <t xml:space="preserve">TOTALS</t>
  </si>
  <si>
    <t xml:space="preserve">Top 10 States — Delivery Delay (Days)</t>
  </si>
  <si>
    <t xml:space="preserve">State</t>
  </si>
  <si>
    <t xml:space="preserve">Avg Delay (Days)</t>
  </si>
  <si>
    <t xml:space="preserve">Max Delay</t>
  </si>
  <si>
    <t xml:space="preserve">Orders Late</t>
  </si>
  <si>
    <t xml:space="preserve">Risk Level</t>
  </si>
  <si>
    <t xml:space="preserve">AL</t>
  </si>
  <si>
    <t xml:space="preserve">🔴 Critical</t>
  </si>
  <si>
    <t xml:space="preserve">SE</t>
  </si>
  <si>
    <t xml:space="preserve">MA</t>
  </si>
  <si>
    <t xml:space="preserve">🟠 High</t>
  </si>
  <si>
    <t xml:space="preserve">PI</t>
  </si>
  <si>
    <t xml:space="preserve">RN</t>
  </si>
  <si>
    <t xml:space="preserve">PA</t>
  </si>
  <si>
    <t xml:space="preserve">🟡 Medium</t>
  </si>
  <si>
    <t xml:space="preserve">AM</t>
  </si>
  <si>
    <t xml:space="preserve">BA</t>
  </si>
  <si>
    <t xml:space="preserve">CE</t>
  </si>
  <si>
    <t xml:space="preserve">PE</t>
  </si>
  <si>
    <t xml:space="preserve">Complaint Categories</t>
  </si>
  <si>
    <t xml:space="preserve">Category</t>
  </si>
  <si>
    <t xml:space="preserve">Complaints</t>
  </si>
  <si>
    <t xml:space="preserve">Avg Score</t>
  </si>
  <si>
    <t xml:space="preserve">Priority</t>
  </si>
  <si>
    <t xml:space="preserve">Computers &amp; Acc.</t>
  </si>
  <si>
    <t xml:space="preserve">🔴 Urgent</t>
  </si>
  <si>
    <t xml:space="preserve">Furniture</t>
  </si>
  <si>
    <t xml:space="preserve">Health &amp; Beauty</t>
  </si>
  <si>
    <t xml:space="preserve">Sports</t>
  </si>
  <si>
    <t xml:space="preserve">Toys</t>
  </si>
  <si>
    <t xml:space="preserve">🟡 Review</t>
  </si>
  <si>
    <t xml:space="preserve">Electronics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</si>
</sst>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&quot;R$&quot;#,##0"/>
    <numFmt numFmtId="167" formatCode="&quot;R$&quot;#,##0;&quot;(R$&quot;#,##0\)"/>
    <numFmt numFmtId="168" formatCode="&quot;R$&quot;#,##0.00"/>
    <numFmt numFmtId="169" formatCode="0.00"/>
    <numFmt numFmtId="170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8"/>
      <color rgb="FF718096"/>
      <name val="Arial"/>
      <family val="0"/>
      <charset val="1"/>
    </font>
    <font>
      <b val="true"/>
      <sz val="13"/>
      <color rgb="FF1A202C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1A202C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1B3A6B"/>
        <bgColor rgb="FF2D3748"/>
      </patternFill>
    </fill>
    <fill>
      <patternFill patternType="solid">
        <fgColor rgb="FF0D7377"/>
        <bgColor rgb="FF008080"/>
      </patternFill>
    </fill>
    <fill>
      <patternFill patternType="solid">
        <fgColor rgb="FFD6E4F0"/>
        <bgColor rgb="FFD9D9D9"/>
      </patternFill>
    </fill>
    <fill>
      <patternFill patternType="solid">
        <fgColor rgb="FFEAF4FB"/>
        <bgColor rgb="FFF7F9FC"/>
      </patternFill>
    </fill>
    <fill>
      <patternFill patternType="solid">
        <fgColor rgb="FFF7F9FC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2D3748"/>
        <bgColor rgb="FF1B3A6B"/>
      </patternFill>
    </fill>
    <fill>
      <patternFill patternType="solid">
        <fgColor rgb="FFC0392B"/>
        <bgColor rgb="FF993366"/>
      </patternFill>
    </fill>
    <fill>
      <patternFill patternType="solid">
        <fgColor rgb="FFE8A020"/>
        <bgColor rgb="FFFFCC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7377"/>
      <rgbColor rgb="FFCCCCCC"/>
      <rgbColor rgb="FF878787"/>
      <rgbColor rgb="FF9999FF"/>
      <rgbColor rgb="FF993366"/>
      <rgbColor rgb="FFF9F9F9"/>
      <rgbColor rgb="FFEAF4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F7F9F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8A020"/>
      <rgbColor rgb="FFFF6600"/>
      <rgbColor rgb="FF718096"/>
      <rgbColor rgb="FF969696"/>
      <rgbColor rgb="FF1B3A6B"/>
      <rgbColor rgb="FF339966"/>
      <rgbColor rgb="FF003300"/>
      <rgbColor rgb="FF1A202C"/>
      <rgbColor rgb="FFC0392B"/>
      <rgbColor rgb="FF993366"/>
      <rgbColor rgb="FF333399"/>
      <rgbColor rgb="FF2D374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(BRL)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Dashboard!C8</c:f>
              <c:strCache>
                <c:ptCount val="1"/>
                <c:pt idx="0">
                  <c:v>Revenue (BRL)</c:v>
                </c:pt>
              </c:strCache>
            </c:strRef>
          </c:tx>
          <c:spPr>
            <a:solidFill>
              <a:srgbClr val="0d7377"/>
            </a:solidFill>
            <a:ln w="21960">
              <a:solidFill>
                <a:srgbClr val="0d737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Dashboard!$A$9:$A$18</c:f>
              <c:strCache>
                <c:ptCount val="10"/>
                <c:pt idx="0">
                  <c:v>Jan 2017</c:v>
                </c:pt>
                <c:pt idx="1">
                  <c:v>Mar 2017</c:v>
                </c:pt>
                <c:pt idx="2">
                  <c:v>Jun 2017</c:v>
                </c:pt>
                <c:pt idx="3">
                  <c:v>Sep 2017</c:v>
                </c:pt>
                <c:pt idx="4">
                  <c:v>Nov 2017</c:v>
                </c:pt>
                <c:pt idx="5">
                  <c:v>Dec 2017</c:v>
                </c:pt>
                <c:pt idx="6">
                  <c:v>Jan 2018</c:v>
                </c:pt>
                <c:pt idx="7">
                  <c:v>Mar 2018</c:v>
                </c:pt>
                <c:pt idx="8">
                  <c:v>May 2018</c:v>
                </c:pt>
                <c:pt idx="9">
                  <c:v>Jul 2018</c:v>
                </c:pt>
              </c:strCache>
            </c:strRef>
          </c:cat>
          <c:val>
            <c:numRef>
              <c:f>Dashboard!$C$9:$C$18</c:f>
              <c:numCache>
                <c:formatCode>"R$"#,##0</c:formatCode>
                <c:ptCount val="10"/>
                <c:pt idx="0">
                  <c:v>45231</c:v>
                </c:pt>
                <c:pt idx="1">
                  <c:v>61200</c:v>
                </c:pt>
                <c:pt idx="2">
                  <c:v>96450</c:v>
                </c:pt>
                <c:pt idx="3">
                  <c:v>134200</c:v>
                </c:pt>
                <c:pt idx="4">
                  <c:v>897312</c:v>
                </c:pt>
                <c:pt idx="5">
                  <c:v>643221</c:v>
                </c:pt>
                <c:pt idx="6">
                  <c:v>712089</c:v>
                </c:pt>
                <c:pt idx="7">
                  <c:v>834000</c:v>
                </c:pt>
                <c:pt idx="8">
                  <c:v>1102341</c:v>
                </c:pt>
                <c:pt idx="9">
                  <c:v>921000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8108236"/>
        <c:axId val="17228241"/>
      </c:lineChart>
      <c:catAx>
        <c:axId val="881082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228241"/>
        <c:crosses val="autoZero"/>
        <c:auto val="1"/>
        <c:lblAlgn val="ctr"/>
        <c:lblOffset val="100"/>
        <c:noMultiLvlLbl val="0"/>
      </c:catAx>
      <c:valAx>
        <c:axId val="172282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R$&quot;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10823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Delivery Delay by State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Dashboard!B22</c:f>
              <c:strCache>
                <c:ptCount val="1"/>
                <c:pt idx="0">
                  <c:v>Avg Delay (Days)</c:v>
                </c:pt>
              </c:strCache>
            </c:strRef>
          </c:tx>
          <c:spPr>
            <a:solidFill>
              <a:srgbClr val="c0392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Dashboard!$A$23:$A$32</c:f>
              <c:strCache>
                <c:ptCount val="10"/>
                <c:pt idx="0">
                  <c:v>AL</c:v>
                </c:pt>
                <c:pt idx="1">
                  <c:v>SE</c:v>
                </c:pt>
                <c:pt idx="2">
                  <c:v>MA</c:v>
                </c:pt>
                <c:pt idx="3">
                  <c:v>PI</c:v>
                </c:pt>
                <c:pt idx="4">
                  <c:v>RN</c:v>
                </c:pt>
                <c:pt idx="5">
                  <c:v>PA</c:v>
                </c:pt>
                <c:pt idx="6">
                  <c:v>AM</c:v>
                </c:pt>
                <c:pt idx="7">
                  <c:v>BA</c:v>
                </c:pt>
                <c:pt idx="8">
                  <c:v>CE</c:v>
                </c:pt>
                <c:pt idx="9">
                  <c:v>PE</c:v>
                </c:pt>
              </c:strCache>
            </c:strRef>
          </c:cat>
          <c:val>
            <c:numRef>
              <c:f>Dashboard!$B$23:$B$32</c:f>
              <c:numCache>
                <c:formatCode>0.00</c:formatCode>
                <c:ptCount val="10"/>
                <c:pt idx="0">
                  <c:v>9.73</c:v>
                </c:pt>
                <c:pt idx="1">
                  <c:v>9.12</c:v>
                </c:pt>
                <c:pt idx="2">
                  <c:v>8.95</c:v>
                </c:pt>
                <c:pt idx="3">
                  <c:v>8.61</c:v>
                </c:pt>
                <c:pt idx="4">
                  <c:v>8.24</c:v>
                </c:pt>
                <c:pt idx="5">
                  <c:v>7.88</c:v>
                </c:pt>
                <c:pt idx="6">
                  <c:v>7.65</c:v>
                </c:pt>
                <c:pt idx="7">
                  <c:v>7.39</c:v>
                </c:pt>
                <c:pt idx="8">
                  <c:v>6.97</c:v>
                </c:pt>
                <c:pt idx="9">
                  <c:v>6.74</c:v>
                </c:pt>
              </c:numCache>
            </c:numRef>
          </c:val>
        </c:ser>
        <c:gapWidth val="150"/>
        <c:overlap val="0"/>
        <c:axId val="68611991"/>
        <c:axId val="37927337"/>
      </c:barChart>
      <c:catAx>
        <c:axId val="68611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927337"/>
        <c:crosses val="autoZero"/>
        <c:auto val="1"/>
        <c:lblAlgn val="ctr"/>
        <c:lblOffset val="100"/>
        <c:noMultiLvlLbl val="0"/>
      </c:catAx>
      <c:valAx>
        <c:axId val="379273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61199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7</xdr:row>
      <xdr:rowOff>0</xdr:rowOff>
    </xdr:from>
    <xdr:to>
      <xdr:col>21</xdr:col>
      <xdr:colOff>426960</xdr:colOff>
      <xdr:row>28</xdr:row>
      <xdr:rowOff>172440</xdr:rowOff>
    </xdr:to>
    <xdr:graphicFrame>
      <xdr:nvGraphicFramePr>
        <xdr:cNvPr id="0" name="Chart 1"/>
        <xdr:cNvGraphicFramePr/>
      </xdr:nvGraphicFramePr>
      <xdr:xfrm>
        <a:off x="7330320" y="1914480"/>
        <a:ext cx="935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27</xdr:row>
      <xdr:rowOff>0</xdr:rowOff>
    </xdr:from>
    <xdr:to>
      <xdr:col>19</xdr:col>
      <xdr:colOff>209880</xdr:colOff>
      <xdr:row>46</xdr:row>
      <xdr:rowOff>137880</xdr:rowOff>
    </xdr:to>
    <xdr:graphicFrame>
      <xdr:nvGraphicFramePr>
        <xdr:cNvPr id="1" name="Chart 2"/>
        <xdr:cNvGraphicFramePr/>
      </xdr:nvGraphicFramePr>
      <xdr:xfrm>
        <a:off x="7330320" y="655308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6" min="3" style="0" width="16"/>
    <col collapsed="false" customWidth="true" hidden="false" outlineLevel="0" max="7" min="7" style="0" width="14"/>
    <col collapsed="false" customWidth="true" hidden="false" outlineLevel="0" max="8" min="8" style="0" width="2"/>
    <col collapsed="false" customWidth="true" hidden="false" outlineLevel="0" max="9" min="9" style="0" width="16"/>
    <col collapsed="false" customWidth="true" hidden="false" outlineLevel="0" max="14" min="10" style="0" width="1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18" hidden="false" customHeight="true" outlineLevel="0" collapsed="false">
      <c r="A4" s="3" t="s">
        <v>2</v>
      </c>
      <c r="B4" s="3"/>
      <c r="C4" s="4" t="s">
        <v>3</v>
      </c>
      <c r="D4" s="4"/>
      <c r="E4" s="3" t="s">
        <v>4</v>
      </c>
      <c r="F4" s="3"/>
      <c r="G4" s="4" t="s">
        <v>5</v>
      </c>
      <c r="H4" s="4"/>
      <c r="I4" s="3" t="s">
        <v>6</v>
      </c>
      <c r="J4" s="3"/>
      <c r="K4" s="4" t="s">
        <v>7</v>
      </c>
      <c r="L4" s="4"/>
    </row>
    <row r="5" customFormat="false" ht="25.5" hidden="false" customHeight="true" outlineLevel="0" collapsed="false">
      <c r="A5" s="5" t="s">
        <v>8</v>
      </c>
      <c r="B5" s="5"/>
      <c r="C5" s="6" t="s">
        <v>9</v>
      </c>
      <c r="D5" s="6"/>
      <c r="E5" s="5" t="s">
        <v>10</v>
      </c>
      <c r="F5" s="5"/>
      <c r="G5" s="6" t="s">
        <v>11</v>
      </c>
      <c r="H5" s="6"/>
      <c r="I5" s="5" t="s">
        <v>12</v>
      </c>
      <c r="J5" s="5"/>
      <c r="K5" s="6" t="s">
        <v>13</v>
      </c>
      <c r="L5" s="6"/>
    </row>
    <row r="7" customFormat="false" ht="21.75" hidden="false" customHeight="true" outlineLevel="0" collapsed="false">
      <c r="A7" s="7" t="s">
        <v>14</v>
      </c>
      <c r="B7" s="7"/>
      <c r="C7" s="7"/>
      <c r="D7" s="7"/>
      <c r="E7" s="7"/>
      <c r="F7" s="7"/>
      <c r="G7" s="7"/>
    </row>
    <row r="8" customFormat="false" ht="19.5" hidden="false" customHeight="true" outlineLevel="0" collapsed="false">
      <c r="A8" s="8" t="s">
        <v>15</v>
      </c>
      <c r="B8" s="8" t="s">
        <v>16</v>
      </c>
      <c r="C8" s="8" t="s">
        <v>17</v>
      </c>
      <c r="D8" s="8" t="s">
        <v>18</v>
      </c>
      <c r="E8" s="8" t="s">
        <v>19</v>
      </c>
      <c r="F8" s="8" t="s">
        <v>20</v>
      </c>
      <c r="G8" s="8" t="s">
        <v>21</v>
      </c>
    </row>
    <row r="9" customFormat="false" ht="18" hidden="false" customHeight="true" outlineLevel="0" collapsed="false">
      <c r="A9" s="9" t="s">
        <v>22</v>
      </c>
      <c r="B9" s="10" t="n">
        <v>769</v>
      </c>
      <c r="C9" s="11" t="n">
        <v>45231</v>
      </c>
      <c r="D9" s="12" t="n">
        <v>0</v>
      </c>
      <c r="E9" s="13" t="n">
        <f aca="false">C9/B9</f>
        <v>58.8179453836151</v>
      </c>
      <c r="F9" s="11" t="n">
        <f aca="false">SUM($C$9:C9)</f>
        <v>45231</v>
      </c>
      <c r="G9" s="9" t="s">
        <v>23</v>
      </c>
    </row>
    <row r="10" customFormat="false" ht="18" hidden="false" customHeight="true" outlineLevel="0" collapsed="false">
      <c r="A10" s="14" t="s">
        <v>24</v>
      </c>
      <c r="B10" s="15" t="n">
        <v>1020</v>
      </c>
      <c r="C10" s="16" t="n">
        <v>61200</v>
      </c>
      <c r="D10" s="17" t="n">
        <f aca="false">C10-C9</f>
        <v>15969</v>
      </c>
      <c r="E10" s="18" t="n">
        <f aca="false">C10/B10</f>
        <v>60</v>
      </c>
      <c r="F10" s="16" t="n">
        <f aca="false">SUM($C$9:C10)</f>
        <v>106431</v>
      </c>
      <c r="G10" s="14" t="s">
        <v>23</v>
      </c>
    </row>
    <row r="11" customFormat="false" ht="18" hidden="false" customHeight="true" outlineLevel="0" collapsed="false">
      <c r="A11" s="9" t="s">
        <v>25</v>
      </c>
      <c r="B11" s="10" t="n">
        <v>1450</v>
      </c>
      <c r="C11" s="11" t="n">
        <v>96450</v>
      </c>
      <c r="D11" s="12" t="n">
        <f aca="false">C11-C10</f>
        <v>35250</v>
      </c>
      <c r="E11" s="13" t="n">
        <f aca="false">C11/B11</f>
        <v>66.5172413793104</v>
      </c>
      <c r="F11" s="11" t="n">
        <f aca="false">SUM($C$9:C11)</f>
        <v>202881</v>
      </c>
      <c r="G11" s="9" t="s">
        <v>23</v>
      </c>
    </row>
    <row r="12" customFormat="false" ht="18" hidden="false" customHeight="true" outlineLevel="0" collapsed="false">
      <c r="A12" s="14" t="s">
        <v>26</v>
      </c>
      <c r="B12" s="15" t="n">
        <v>2100</v>
      </c>
      <c r="C12" s="16" t="n">
        <v>134200</v>
      </c>
      <c r="D12" s="17" t="n">
        <f aca="false">C12-C11</f>
        <v>37750</v>
      </c>
      <c r="E12" s="18" t="n">
        <f aca="false">C12/B12</f>
        <v>63.9047619047619</v>
      </c>
      <c r="F12" s="16" t="n">
        <f aca="false">SUM($C$9:C12)</f>
        <v>337081</v>
      </c>
      <c r="G12" s="14" t="s">
        <v>23</v>
      </c>
    </row>
    <row r="13" customFormat="false" ht="18" hidden="false" customHeight="true" outlineLevel="0" collapsed="false">
      <c r="A13" s="9" t="s">
        <v>27</v>
      </c>
      <c r="B13" s="10" t="n">
        <v>7544</v>
      </c>
      <c r="C13" s="11" t="n">
        <v>897312</v>
      </c>
      <c r="D13" s="12" t="n">
        <f aca="false">C13-C12</f>
        <v>763112</v>
      </c>
      <c r="E13" s="13" t="n">
        <f aca="false">C13/B13</f>
        <v>118.943796394486</v>
      </c>
      <c r="F13" s="11" t="n">
        <f aca="false">SUM($C$9:C13)</f>
        <v>1234393</v>
      </c>
      <c r="G13" s="9" t="s">
        <v>28</v>
      </c>
    </row>
    <row r="14" customFormat="false" ht="18" hidden="false" customHeight="true" outlineLevel="0" collapsed="false">
      <c r="A14" s="14" t="s">
        <v>29</v>
      </c>
      <c r="B14" s="15" t="n">
        <v>5673</v>
      </c>
      <c r="C14" s="16" t="n">
        <v>643221</v>
      </c>
      <c r="D14" s="17" t="n">
        <f aca="false">C14-C13</f>
        <v>-254091</v>
      </c>
      <c r="E14" s="18" t="n">
        <f aca="false">C14/B14</f>
        <v>113.382866208355</v>
      </c>
      <c r="F14" s="16" t="n">
        <f aca="false">SUM($C$9:C14)</f>
        <v>1877614</v>
      </c>
      <c r="G14" s="14" t="s">
        <v>30</v>
      </c>
    </row>
    <row r="15" customFormat="false" ht="18" hidden="false" customHeight="true" outlineLevel="0" collapsed="false">
      <c r="A15" s="9" t="s">
        <v>31</v>
      </c>
      <c r="B15" s="10" t="n">
        <v>6342</v>
      </c>
      <c r="C15" s="11" t="n">
        <v>712089</v>
      </c>
      <c r="D15" s="12" t="n">
        <f aca="false">C15-C14</f>
        <v>68868</v>
      </c>
      <c r="E15" s="13" t="n">
        <f aca="false">C15/B15</f>
        <v>112.281456953642</v>
      </c>
      <c r="F15" s="11" t="n">
        <f aca="false">SUM($C$9:C15)</f>
        <v>2589703</v>
      </c>
      <c r="G15" s="9" t="s">
        <v>30</v>
      </c>
    </row>
    <row r="16" customFormat="false" ht="18" hidden="false" customHeight="true" outlineLevel="0" collapsed="false">
      <c r="A16" s="14" t="s">
        <v>32</v>
      </c>
      <c r="B16" s="15" t="n">
        <v>7100</v>
      </c>
      <c r="C16" s="16" t="n">
        <v>834000</v>
      </c>
      <c r="D16" s="17" t="n">
        <f aca="false">C16-C15</f>
        <v>121911</v>
      </c>
      <c r="E16" s="18" t="n">
        <f aca="false">C16/B16</f>
        <v>117.464788732394</v>
      </c>
      <c r="F16" s="16" t="n">
        <f aca="false">SUM($C$9:C16)</f>
        <v>3423703</v>
      </c>
      <c r="G16" s="14" t="s">
        <v>28</v>
      </c>
    </row>
    <row r="17" customFormat="false" ht="18" hidden="false" customHeight="true" outlineLevel="0" collapsed="false">
      <c r="A17" s="9" t="s">
        <v>33</v>
      </c>
      <c r="B17" s="10" t="n">
        <v>8412</v>
      </c>
      <c r="C17" s="11" t="n">
        <v>1102341</v>
      </c>
      <c r="D17" s="12" t="n">
        <f aca="false">C17-C16</f>
        <v>268341</v>
      </c>
      <c r="E17" s="13" t="n">
        <f aca="false">C17/B17</f>
        <v>131.043865905849</v>
      </c>
      <c r="F17" s="11" t="n">
        <f aca="false">SUM($C$9:C17)</f>
        <v>4526044</v>
      </c>
      <c r="G17" s="9" t="s">
        <v>28</v>
      </c>
    </row>
    <row r="18" customFormat="false" ht="18" hidden="false" customHeight="true" outlineLevel="0" collapsed="false">
      <c r="A18" s="14" t="s">
        <v>34</v>
      </c>
      <c r="B18" s="15" t="n">
        <v>7890</v>
      </c>
      <c r="C18" s="16" t="n">
        <v>921000</v>
      </c>
      <c r="D18" s="17" t="n">
        <f aca="false">C18-C17</f>
        <v>-181341</v>
      </c>
      <c r="E18" s="18" t="n">
        <f aca="false">C18/B18</f>
        <v>116.730038022814</v>
      </c>
      <c r="F18" s="16" t="n">
        <f aca="false">SUM($C$9:C18)</f>
        <v>5447044</v>
      </c>
      <c r="G18" s="14" t="s">
        <v>28</v>
      </c>
    </row>
    <row r="19" customFormat="false" ht="19.5" hidden="false" customHeight="true" outlineLevel="0" collapsed="false">
      <c r="A19" s="19" t="s">
        <v>35</v>
      </c>
      <c r="B19" s="20" t="n">
        <f aca="false">SUM(B9:B18)</f>
        <v>48300</v>
      </c>
      <c r="C19" s="21" t="n">
        <f aca="false">SUM(C9:C18)</f>
        <v>5447044</v>
      </c>
      <c r="E19" s="22" t="n">
        <f aca="false">AVERAGE(E9:E18)</f>
        <v>95.9086760885228</v>
      </c>
      <c r="F19" s="21" t="n">
        <f aca="false">MAX(F9:F18)</f>
        <v>5447044</v>
      </c>
    </row>
    <row r="21" customFormat="false" ht="21.75" hidden="false" customHeight="true" outlineLevel="0" collapsed="false">
      <c r="A21" s="23" t="s">
        <v>36</v>
      </c>
      <c r="B21" s="23"/>
      <c r="C21" s="23"/>
      <c r="D21" s="23"/>
      <c r="E21" s="23"/>
    </row>
    <row r="22" customFormat="false" ht="19.5" hidden="false" customHeight="true" outlineLevel="0" collapsed="false">
      <c r="A22" s="24" t="s">
        <v>37</v>
      </c>
      <c r="B22" s="24" t="s">
        <v>38</v>
      </c>
      <c r="C22" s="24" t="s">
        <v>39</v>
      </c>
      <c r="D22" s="24" t="s">
        <v>40</v>
      </c>
      <c r="E22" s="24" t="s">
        <v>41</v>
      </c>
    </row>
    <row r="23" customFormat="false" ht="18" hidden="false" customHeight="true" outlineLevel="0" collapsed="false">
      <c r="A23" s="9" t="s">
        <v>42</v>
      </c>
      <c r="B23" s="25" t="n">
        <v>9.73</v>
      </c>
      <c r="C23" s="26" t="n">
        <v>31</v>
      </c>
      <c r="D23" s="10" t="n">
        <v>4231</v>
      </c>
      <c r="E23" s="9" t="s">
        <v>43</v>
      </c>
    </row>
    <row r="24" customFormat="false" ht="18" hidden="false" customHeight="true" outlineLevel="0" collapsed="false">
      <c r="A24" s="14" t="s">
        <v>44</v>
      </c>
      <c r="B24" s="27" t="n">
        <v>9.12</v>
      </c>
      <c r="C24" s="28" t="n">
        <v>28</v>
      </c>
      <c r="D24" s="15" t="n">
        <v>2108</v>
      </c>
      <c r="E24" s="14" t="s">
        <v>43</v>
      </c>
    </row>
    <row r="25" customFormat="false" ht="18" hidden="false" customHeight="true" outlineLevel="0" collapsed="false">
      <c r="A25" s="9" t="s">
        <v>45</v>
      </c>
      <c r="B25" s="25" t="n">
        <v>8.95</v>
      </c>
      <c r="C25" s="26" t="n">
        <v>27</v>
      </c>
      <c r="D25" s="10" t="n">
        <v>3421</v>
      </c>
      <c r="E25" s="9" t="s">
        <v>46</v>
      </c>
    </row>
    <row r="26" customFormat="false" ht="18" hidden="false" customHeight="true" outlineLevel="0" collapsed="false">
      <c r="A26" s="14" t="s">
        <v>47</v>
      </c>
      <c r="B26" s="27" t="n">
        <v>8.61</v>
      </c>
      <c r="C26" s="28" t="n">
        <v>26</v>
      </c>
      <c r="D26" s="15" t="n">
        <v>1876</v>
      </c>
      <c r="E26" s="14" t="s">
        <v>46</v>
      </c>
    </row>
    <row r="27" customFormat="false" ht="18" hidden="false" customHeight="true" outlineLevel="0" collapsed="false">
      <c r="A27" s="9" t="s">
        <v>48</v>
      </c>
      <c r="B27" s="25" t="n">
        <v>8.24</v>
      </c>
      <c r="C27" s="26" t="n">
        <v>25</v>
      </c>
      <c r="D27" s="10" t="n">
        <v>1654</v>
      </c>
      <c r="E27" s="9" t="s">
        <v>46</v>
      </c>
    </row>
    <row r="28" customFormat="false" ht="18" hidden="false" customHeight="true" outlineLevel="0" collapsed="false">
      <c r="A28" s="14" t="s">
        <v>49</v>
      </c>
      <c r="B28" s="27" t="n">
        <v>7.88</v>
      </c>
      <c r="C28" s="28" t="n">
        <v>22</v>
      </c>
      <c r="D28" s="15" t="n">
        <v>2341</v>
      </c>
      <c r="E28" s="14" t="s">
        <v>50</v>
      </c>
    </row>
    <row r="29" customFormat="false" ht="18" hidden="false" customHeight="true" outlineLevel="0" collapsed="false">
      <c r="A29" s="9" t="s">
        <v>51</v>
      </c>
      <c r="B29" s="25" t="n">
        <v>7.65</v>
      </c>
      <c r="C29" s="26" t="n">
        <v>20</v>
      </c>
      <c r="D29" s="10" t="n">
        <v>1234</v>
      </c>
      <c r="E29" s="9" t="s">
        <v>50</v>
      </c>
    </row>
    <row r="30" customFormat="false" ht="18" hidden="false" customHeight="true" outlineLevel="0" collapsed="false">
      <c r="A30" s="14" t="s">
        <v>52</v>
      </c>
      <c r="B30" s="27" t="n">
        <v>7.39</v>
      </c>
      <c r="C30" s="28" t="n">
        <v>19</v>
      </c>
      <c r="D30" s="15" t="n">
        <v>3987</v>
      </c>
      <c r="E30" s="14" t="s">
        <v>50</v>
      </c>
    </row>
    <row r="31" customFormat="false" ht="18" hidden="false" customHeight="true" outlineLevel="0" collapsed="false">
      <c r="A31" s="9" t="s">
        <v>53</v>
      </c>
      <c r="B31" s="25" t="n">
        <v>6.97</v>
      </c>
      <c r="C31" s="26" t="n">
        <v>18</v>
      </c>
      <c r="D31" s="10" t="n">
        <v>2871</v>
      </c>
      <c r="E31" s="9" t="s">
        <v>50</v>
      </c>
    </row>
    <row r="32" customFormat="false" ht="18" hidden="false" customHeight="true" outlineLevel="0" collapsed="false">
      <c r="A32" s="14" t="s">
        <v>54</v>
      </c>
      <c r="B32" s="27" t="n">
        <v>6.74</v>
      </c>
      <c r="C32" s="28" t="n">
        <v>17</v>
      </c>
      <c r="D32" s="15" t="n">
        <v>3102</v>
      </c>
      <c r="E32" s="14" t="s">
        <v>50</v>
      </c>
    </row>
    <row r="34" customFormat="false" ht="21.75" hidden="false" customHeight="true" outlineLevel="0" collapsed="false">
      <c r="A34" s="29" t="s">
        <v>55</v>
      </c>
      <c r="B34" s="29"/>
      <c r="C34" s="29"/>
      <c r="D34" s="29"/>
    </row>
    <row r="35" customFormat="false" ht="19.5" hidden="false" customHeight="true" outlineLevel="0" collapsed="false">
      <c r="A35" s="30" t="s">
        <v>56</v>
      </c>
      <c r="B35" s="30" t="s">
        <v>57</v>
      </c>
      <c r="C35" s="30" t="s">
        <v>58</v>
      </c>
      <c r="D35" s="30" t="s">
        <v>59</v>
      </c>
    </row>
    <row r="36" customFormat="false" ht="18" hidden="false" customHeight="true" outlineLevel="0" collapsed="false">
      <c r="A36" s="14" t="s">
        <v>60</v>
      </c>
      <c r="B36" s="15" t="n">
        <v>3241</v>
      </c>
      <c r="C36" s="27" t="n">
        <v>2.14</v>
      </c>
      <c r="D36" s="14" t="s">
        <v>61</v>
      </c>
    </row>
    <row r="37" customFormat="false" ht="18" hidden="false" customHeight="true" outlineLevel="0" collapsed="false">
      <c r="A37" s="9" t="s">
        <v>62</v>
      </c>
      <c r="B37" s="10" t="n">
        <v>2987</v>
      </c>
      <c r="C37" s="25" t="n">
        <v>2.31</v>
      </c>
      <c r="D37" s="9" t="s">
        <v>46</v>
      </c>
    </row>
    <row r="38" customFormat="false" ht="18" hidden="false" customHeight="true" outlineLevel="0" collapsed="false">
      <c r="A38" s="14" t="s">
        <v>63</v>
      </c>
      <c r="B38" s="15" t="n">
        <v>2654</v>
      </c>
      <c r="C38" s="27" t="n">
        <v>2.49</v>
      </c>
      <c r="D38" s="14" t="s">
        <v>46</v>
      </c>
    </row>
    <row r="39" customFormat="false" ht="18" hidden="false" customHeight="true" outlineLevel="0" collapsed="false">
      <c r="A39" s="9" t="s">
        <v>64</v>
      </c>
      <c r="B39" s="10" t="n">
        <v>2102</v>
      </c>
      <c r="C39" s="25" t="n">
        <v>2.68</v>
      </c>
      <c r="D39" s="9" t="s">
        <v>46</v>
      </c>
    </row>
    <row r="40" customFormat="false" ht="18" hidden="false" customHeight="true" outlineLevel="0" collapsed="false">
      <c r="A40" s="14" t="s">
        <v>65</v>
      </c>
      <c r="B40" s="15" t="n">
        <v>1876</v>
      </c>
      <c r="C40" s="27" t="n">
        <v>2.77</v>
      </c>
      <c r="D40" s="14" t="s">
        <v>66</v>
      </c>
    </row>
    <row r="41" customFormat="false" ht="18" hidden="false" customHeight="true" outlineLevel="0" collapsed="false">
      <c r="A41" s="9" t="s">
        <v>67</v>
      </c>
      <c r="B41" s="10" t="n">
        <v>1543</v>
      </c>
      <c r="C41" s="25" t="n">
        <v>3.01</v>
      </c>
      <c r="D41" s="9" t="s">
        <v>66</v>
      </c>
    </row>
  </sheetData>
  <mergeCells count="17">
    <mergeCell ref="A1:N1"/>
    <mergeCell ref="A2:N2"/>
    <mergeCell ref="A4:B4"/>
    <mergeCell ref="C4:D4"/>
    <mergeCell ref="E4:F4"/>
    <mergeCell ref="G4:H4"/>
    <mergeCell ref="I4:J4"/>
    <mergeCell ref="K4:L4"/>
    <mergeCell ref="A5:B5"/>
    <mergeCell ref="C5:D5"/>
    <mergeCell ref="E5:F5"/>
    <mergeCell ref="G5:H5"/>
    <mergeCell ref="I5:J5"/>
    <mergeCell ref="K5:L5"/>
    <mergeCell ref="A7:G7"/>
    <mergeCell ref="A21:E21"/>
    <mergeCell ref="A34:D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2026-06-26T21:22:31Z</dcterms:created>
  <dc:creator>openpyxl</dc:creator>
  <dc:description/>
  <dc:language>en-US</dc:language>
  <cp:lastModifiedBy/>
  <dcterms:modified xsi:type="dcterms:W3CDTF">2026-06-26T21:22:42Z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